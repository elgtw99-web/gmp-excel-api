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600" windowWidth="18915" windowHeight="7275"/>
  </bookViews>
  <sheets>
    <sheet name="賦活極致靚白黑面膜&amp;親膚極致舒緩黑面膜" sheetId="1" r:id="rId1"/>
    <sheet name="玻尿酸保濕水嫩面膜" sheetId="2" r:id="rId2"/>
  </sheets>
  <calcPr calcId="144525"/>
</workbook>
</file>

<file path=xl/calcChain.xml><?xml version="1.0" encoding="utf-8"?>
<calcChain xmlns="http://schemas.openxmlformats.org/spreadsheetml/2006/main">
  <c r="H17" i="2" l="1"/>
  <c r="I16" i="2"/>
  <c r="I15" i="2"/>
  <c r="I14" i="2"/>
  <c r="I13" i="2"/>
  <c r="I12" i="2"/>
  <c r="I11" i="2"/>
  <c r="I10" i="2"/>
  <c r="I9" i="2"/>
  <c r="H8" i="2"/>
  <c r="I8" i="2" s="1"/>
  <c r="I7" i="2"/>
  <c r="I6" i="2"/>
  <c r="I17" i="2" l="1"/>
  <c r="H17" i="1" l="1"/>
  <c r="I16" i="1"/>
  <c r="I15" i="1"/>
  <c r="I14" i="1"/>
  <c r="I13" i="1"/>
  <c r="I12" i="1"/>
  <c r="I11" i="1"/>
  <c r="I10" i="1"/>
  <c r="I9" i="1"/>
  <c r="H8" i="1"/>
  <c r="I8" i="1" s="1"/>
  <c r="I7" i="1"/>
  <c r="I6" i="1"/>
  <c r="I17" i="1" s="1"/>
</calcChain>
</file>

<file path=xl/sharedStrings.xml><?xml version="1.0" encoding="utf-8"?>
<sst xmlns="http://schemas.openxmlformats.org/spreadsheetml/2006/main" count="257" uniqueCount="125">
  <si>
    <t>機器清潔確認</t>
    <phoneticPr fontId="1" type="noConversion"/>
  </si>
  <si>
    <t>製造前</t>
    <phoneticPr fontId="1" type="noConversion"/>
  </si>
  <si>
    <t>是□    否□</t>
    <phoneticPr fontId="1" type="noConversion"/>
  </si>
  <si>
    <t>品   名</t>
  </si>
  <si>
    <r>
      <rPr>
        <sz val="12"/>
        <rFont val="標楷體"/>
        <family val="4"/>
        <charset val="136"/>
      </rPr>
      <t>樣品批號</t>
    </r>
  </si>
  <si>
    <r>
      <rPr>
        <sz val="12"/>
        <rFont val="標楷體"/>
        <family val="4"/>
        <charset val="136"/>
      </rPr>
      <t>批</t>
    </r>
    <r>
      <rPr>
        <sz val="12"/>
        <rFont val="Times New Roman"/>
        <family val="1"/>
      </rPr>
      <t xml:space="preserve">   </t>
    </r>
    <r>
      <rPr>
        <sz val="12"/>
        <rFont val="標楷體"/>
        <family val="4"/>
        <charset val="136"/>
      </rPr>
      <t>量</t>
    </r>
  </si>
  <si>
    <t>g</t>
  </si>
  <si>
    <r>
      <rPr>
        <sz val="12"/>
        <rFont val="標楷體"/>
        <family val="4"/>
        <charset val="136"/>
      </rPr>
      <t>日</t>
    </r>
    <r>
      <rPr>
        <sz val="12"/>
        <rFont val="Times New Roman"/>
        <family val="1"/>
      </rPr>
      <t xml:space="preserve">   </t>
    </r>
    <r>
      <rPr>
        <sz val="12"/>
        <rFont val="標楷體"/>
        <family val="4"/>
        <charset val="136"/>
      </rPr>
      <t>期</t>
    </r>
  </si>
  <si>
    <t>相別</t>
  </si>
  <si>
    <t>廠商名稱</t>
    <phoneticPr fontId="10" type="noConversion"/>
  </si>
  <si>
    <t>廠商編號</t>
    <phoneticPr fontId="1" type="noConversion"/>
  </si>
  <si>
    <t>產品編號</t>
    <phoneticPr fontId="1" type="noConversion"/>
  </si>
  <si>
    <t>原料批號</t>
    <phoneticPr fontId="1" type="noConversion"/>
  </si>
  <si>
    <t>原  料  名  稱</t>
  </si>
  <si>
    <t>INCI</t>
  </si>
  <si>
    <t>單位含量</t>
  </si>
  <si>
    <t>配方量</t>
  </si>
  <si>
    <t>秤 料 量</t>
    <phoneticPr fontId="1" type="noConversion"/>
  </si>
  <si>
    <t>投料確認</t>
    <phoneticPr fontId="1" type="noConversion"/>
  </si>
  <si>
    <t>A</t>
  </si>
  <si>
    <t>嘉誠化學股份有限公司</t>
    <phoneticPr fontId="1" type="noConversion"/>
  </si>
  <si>
    <t>HC24</t>
    <phoneticPr fontId="1" type="noConversion"/>
  </si>
  <si>
    <t>HC24FI001</t>
    <phoneticPr fontId="1" type="noConversion"/>
  </si>
  <si>
    <t>Xanthan Gum(三仙膠)</t>
  </si>
  <si>
    <t>Xanthan Gum</t>
  </si>
  <si>
    <t>Gm</t>
  </si>
  <si>
    <t>台灣艾比克股份有限公司</t>
    <phoneticPr fontId="1" type="noConversion"/>
  </si>
  <si>
    <t>THB24</t>
    <phoneticPr fontId="1" type="noConversion"/>
  </si>
  <si>
    <t>THB24FI002</t>
    <phoneticPr fontId="1" type="noConversion"/>
  </si>
  <si>
    <t>LP24D00296</t>
    <phoneticPr fontId="1" type="noConversion"/>
  </si>
  <si>
    <t>Propanediol(玉米多元醇)</t>
    <phoneticPr fontId="1" type="noConversion"/>
  </si>
  <si>
    <t>Propanediol</t>
  </si>
  <si>
    <t>B</t>
  </si>
  <si>
    <t>九久食品企業社</t>
    <phoneticPr fontId="1" type="noConversion"/>
  </si>
  <si>
    <t>99W24</t>
    <phoneticPr fontId="1" type="noConversion"/>
  </si>
  <si>
    <t>99W24SI001</t>
    <phoneticPr fontId="1" type="noConversion"/>
  </si>
  <si>
    <t>NA</t>
    <phoneticPr fontId="1" type="noConversion"/>
  </si>
  <si>
    <t>Pure Water(純水)</t>
  </si>
  <si>
    <t>Aqua</t>
    <phoneticPr fontId="1" type="noConversion"/>
  </si>
  <si>
    <t>科友實業股份有限公司</t>
    <phoneticPr fontId="1" type="noConversion"/>
  </si>
  <si>
    <t>KY24</t>
    <phoneticPr fontId="1" type="noConversion"/>
  </si>
  <si>
    <t>KY24AI013</t>
    <phoneticPr fontId="1" type="noConversion"/>
  </si>
  <si>
    <t>秋葵植物多醣(DAMAMIT LFS)</t>
    <phoneticPr fontId="10" type="noConversion"/>
  </si>
  <si>
    <t>Hibiscus Esculentus Fruit Extract&amp;Water&amp;Phenoxyethanol&amp;Propylene Glycol</t>
    <phoneticPr fontId="1" type="noConversion"/>
  </si>
  <si>
    <t>亨元股份有限公司</t>
    <phoneticPr fontId="1" type="noConversion"/>
  </si>
  <si>
    <t>HU24</t>
    <phoneticPr fontId="1" type="noConversion"/>
  </si>
  <si>
    <t>HU24AI004</t>
    <phoneticPr fontId="1" type="noConversion"/>
  </si>
  <si>
    <t>Allantoin(尿囊素)</t>
  </si>
  <si>
    <t xml:space="preserve">Allantoin  </t>
    <phoneticPr fontId="1" type="noConversion"/>
  </si>
  <si>
    <t>聚瀚國際有限公司</t>
    <phoneticPr fontId="1" type="noConversion"/>
  </si>
  <si>
    <t>JH24</t>
    <phoneticPr fontId="1" type="noConversion"/>
  </si>
  <si>
    <t>JH24AI059</t>
    <phoneticPr fontId="1" type="noConversion"/>
  </si>
  <si>
    <t>甘草酸二鉀HPLC 72%</t>
    <phoneticPr fontId="1" type="noConversion"/>
  </si>
  <si>
    <t>Dipotassium Glycyrrhizinate</t>
    <phoneticPr fontId="1" type="noConversion"/>
  </si>
  <si>
    <t>允誠國際實業有限公司</t>
    <phoneticPr fontId="1" type="noConversion"/>
  </si>
  <si>
    <t>YC24</t>
    <phoneticPr fontId="1" type="noConversion"/>
  </si>
  <si>
    <t>YC24FI010</t>
    <phoneticPr fontId="1" type="noConversion"/>
  </si>
  <si>
    <t>PG2_20221114_0722</t>
    <phoneticPr fontId="1" type="noConversion"/>
  </si>
  <si>
    <t>Diglycerin 雙甘油</t>
    <phoneticPr fontId="1" type="noConversion"/>
  </si>
  <si>
    <t>Diglycerin</t>
    <phoneticPr fontId="1" type="noConversion"/>
  </si>
  <si>
    <t>C</t>
    <phoneticPr fontId="1" type="noConversion"/>
  </si>
  <si>
    <t>YC24FI004</t>
    <phoneticPr fontId="1" type="noConversion"/>
  </si>
  <si>
    <t>003020724C</t>
    <phoneticPr fontId="1" type="noConversion"/>
  </si>
  <si>
    <t>Glycerin(甘油)</t>
  </si>
  <si>
    <t xml:space="preserve">Glycerin  </t>
    <phoneticPr fontId="1" type="noConversion"/>
  </si>
  <si>
    <t>六和化工股份有限公司</t>
    <phoneticPr fontId="1" type="noConversion"/>
  </si>
  <si>
    <t>6H24</t>
  </si>
  <si>
    <t>6H24PR001</t>
    <phoneticPr fontId="1" type="noConversion"/>
  </si>
  <si>
    <t>C-206351-2410</t>
    <phoneticPr fontId="1" type="noConversion"/>
  </si>
  <si>
    <t>Chlorphenesin(氯苯甘醚)</t>
    <phoneticPr fontId="1" type="noConversion"/>
  </si>
  <si>
    <t xml:space="preserve">Chlorphenesin </t>
    <phoneticPr fontId="1" type="noConversion"/>
  </si>
  <si>
    <t>6H24PR002</t>
  </si>
  <si>
    <t>RP-0118643001-2506</t>
    <phoneticPr fontId="1" type="noConversion"/>
  </si>
  <si>
    <t>1,2-Hexanediol</t>
    <phoneticPr fontId="1" type="noConversion"/>
  </si>
  <si>
    <t xml:space="preserve">1,2-Hexanediol  </t>
    <phoneticPr fontId="1" type="noConversion"/>
  </si>
  <si>
    <t>D</t>
    <phoneticPr fontId="1" type="noConversion"/>
  </si>
  <si>
    <t>粨合科技實業有限公司</t>
    <phoneticPr fontId="1" type="noConversion"/>
  </si>
  <si>
    <t>VF24</t>
    <phoneticPr fontId="1" type="noConversion"/>
  </si>
  <si>
    <t>VF24CF002</t>
    <phoneticPr fontId="1" type="noConversion"/>
  </si>
  <si>
    <t>GA72403906</t>
    <phoneticPr fontId="1" type="noConversion"/>
  </si>
  <si>
    <t>天竺葵香精</t>
    <phoneticPr fontId="1" type="noConversion"/>
  </si>
  <si>
    <t>Fragrance</t>
    <phoneticPr fontId="1" type="noConversion"/>
  </si>
  <si>
    <t>Total:</t>
  </si>
  <si>
    <t>包材部分</t>
    <phoneticPr fontId="1" type="noConversion"/>
  </si>
  <si>
    <t>中國广州匠望塑业有限公司</t>
  </si>
  <si>
    <t>JW24</t>
  </si>
  <si>
    <t>中國广州市海涛无纺制品有限公司</t>
  </si>
  <si>
    <t>HT24</t>
  </si>
  <si>
    <t>HT24FMC011</t>
    <phoneticPr fontId="1" type="noConversion"/>
  </si>
  <si>
    <t>45g-5:5粘胶:涤纶黑膜(無珍珠膜)-大臉型-140#(已折疊)</t>
    <phoneticPr fontId="1" type="noConversion"/>
  </si>
  <si>
    <t>中國广州市时当品包装材料有限公司</t>
    <phoneticPr fontId="1" type="noConversion"/>
  </si>
  <si>
    <t>SDP24</t>
    <phoneticPr fontId="1" type="noConversion"/>
  </si>
  <si>
    <t>SDP24AB022</t>
    <phoneticPr fontId="1" type="noConversion"/>
  </si>
  <si>
    <t>10.4*16.5cm親膚極致舒緩黑面膜鋁袋</t>
    <phoneticPr fontId="1" type="noConversion"/>
  </si>
  <si>
    <r>
      <rPr>
        <sz val="12"/>
        <color indexed="8"/>
        <rFont val="標楷體"/>
        <family val="4"/>
        <charset val="136"/>
      </rPr>
      <t>流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標楷體"/>
        <family val="4"/>
        <charset val="136"/>
      </rPr>
      <t>程</t>
    </r>
    <r>
      <rPr>
        <sz val="12"/>
        <color indexed="8"/>
        <rFont val="Times New Roman"/>
        <family val="1"/>
      </rPr>
      <t>:</t>
    </r>
  </si>
  <si>
    <r>
      <t>A</t>
    </r>
    <r>
      <rPr>
        <sz val="12"/>
        <color theme="1"/>
        <rFont val="細明體"/>
        <family val="3"/>
        <charset val="136"/>
      </rPr>
      <t>項混合無結塊後加入</t>
    </r>
    <r>
      <rPr>
        <sz val="12"/>
        <color theme="1"/>
        <rFont val="Times New Roman"/>
        <family val="1"/>
      </rPr>
      <t>B</t>
    </r>
    <r>
      <rPr>
        <sz val="12"/>
        <color theme="1"/>
        <rFont val="細明體"/>
        <family val="3"/>
        <charset val="136"/>
      </rPr>
      <t>項攪拌均勻呈透明無顆粒稠狀液體</t>
    </r>
  </si>
  <si>
    <r>
      <t>C</t>
    </r>
    <r>
      <rPr>
        <sz val="12"/>
        <color theme="1"/>
        <rFont val="細明體"/>
        <family val="3"/>
        <charset val="136"/>
      </rPr>
      <t>項相混合攪拌均勻呈透明無顆粒稠狀液體後加入(A+B)</t>
    </r>
  </si>
  <si>
    <r>
      <t>D</t>
    </r>
    <r>
      <rPr>
        <sz val="12"/>
        <color theme="1"/>
        <rFont val="細明體"/>
        <family val="3"/>
        <charset val="136"/>
      </rPr>
      <t>項依序加入混合均勻</t>
    </r>
  </si>
  <si>
    <t>製造完成:</t>
    <phoneticPr fontId="1" type="noConversion"/>
  </si>
  <si>
    <t>是       否</t>
    <phoneticPr fontId="1" type="noConversion"/>
  </si>
  <si>
    <t>核對人:</t>
  </si>
  <si>
    <t>製造:</t>
    <phoneticPr fontId="1" type="noConversion"/>
  </si>
  <si>
    <t>JW24AB015</t>
  </si>
  <si>
    <t>10.4*16.5cm賦活極致靚白黑面膜鋁袋</t>
    <phoneticPr fontId="1" type="noConversion"/>
  </si>
  <si>
    <t>45g-5:5粘胶:涤纶黑膜(無珍珠膜)-大臉型-140#(未折疊)</t>
    <phoneticPr fontId="1" type="noConversion"/>
  </si>
  <si>
    <t>1800張</t>
    <phoneticPr fontId="1" type="noConversion"/>
  </si>
  <si>
    <t>700張</t>
    <phoneticPr fontId="1" type="noConversion"/>
  </si>
  <si>
    <r>
      <rPr>
        <u/>
        <sz val="12"/>
        <rFont val="標楷體"/>
        <family val="4"/>
        <charset val="136"/>
      </rPr>
      <t>相別</t>
    </r>
  </si>
  <si>
    <r>
      <rPr>
        <sz val="12"/>
        <rFont val="標楷體"/>
        <family val="4"/>
        <charset val="136"/>
      </rPr>
      <t>單位含量</t>
    </r>
  </si>
  <si>
    <r>
      <rPr>
        <sz val="12"/>
        <rFont val="標楷體"/>
        <family val="4"/>
        <charset val="136"/>
      </rPr>
      <t>配方量</t>
    </r>
  </si>
  <si>
    <t>中國广州市时当品包装材料有限公司</t>
  </si>
  <si>
    <t>SDP24AB016</t>
    <phoneticPr fontId="1" type="noConversion"/>
  </si>
  <si>
    <t>11*15cm玻尿酸保濕水嫩面膜鋁袋</t>
    <phoneticPr fontId="1" type="noConversion"/>
  </si>
  <si>
    <t>HT24FMC002</t>
  </si>
  <si>
    <t>B23磅白色天絲摺疊布(有珍珠膜)-小臉型-N-200601(已折疊)</t>
    <phoneticPr fontId="1" type="noConversion"/>
  </si>
  <si>
    <r>
      <t>D</t>
    </r>
    <r>
      <rPr>
        <sz val="12"/>
        <color theme="1"/>
        <rFont val="細明體"/>
        <family val="3"/>
        <charset val="136"/>
      </rPr>
      <t>項加入</t>
    </r>
    <r>
      <rPr>
        <sz val="12"/>
        <color theme="1"/>
        <rFont val="Times New Roman"/>
        <family val="1"/>
      </rPr>
      <t>(A+B+C)</t>
    </r>
    <phoneticPr fontId="1" type="noConversion"/>
  </si>
  <si>
    <t>B23磅白色天絲摺疊布(有珍珠膜)-小臉型-N-200601(未折疊)</t>
    <phoneticPr fontId="1" type="noConversion"/>
  </si>
  <si>
    <t>5000張</t>
    <phoneticPr fontId="1" type="noConversion"/>
  </si>
  <si>
    <t>4145張</t>
    <phoneticPr fontId="1" type="noConversion"/>
  </si>
  <si>
    <t>855張</t>
    <phoneticPr fontId="1" type="noConversion"/>
  </si>
  <si>
    <t>71105875L0</t>
    <phoneticPr fontId="1" type="noConversion"/>
  </si>
  <si>
    <t>71105875L0</t>
    <phoneticPr fontId="1" type="noConversion"/>
  </si>
  <si>
    <t>TWK24A1301</t>
    <phoneticPr fontId="1" type="noConversion"/>
  </si>
  <si>
    <t>玻尿酸保濕水嫩面膜</t>
    <phoneticPr fontId="1" type="noConversion"/>
  </si>
  <si>
    <t>賦活極致靚白黑面膜&amp;親膚極致舒緩黑面膜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</si>
</sst>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76" formatCode="#,##0_ "/>
    <numFmt numFmtId="177" formatCode="0.000%"/>
    <numFmt numFmtId="178" formatCode="#,##0.000_ "/>
  </numFmts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文鼎粗楷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name val="Times New Roman"/>
      <family val="1"/>
    </font>
    <font>
      <sz val="12"/>
      <name val="標楷體"/>
      <family val="4"/>
      <charset val="136"/>
    </font>
    <font>
      <sz val="12"/>
      <color theme="1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name val="MingLiU"/>
      <family val="3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2"/>
      <color rgb="FFFF0000"/>
      <name val="Times New Roman"/>
      <family val="1"/>
    </font>
    <font>
      <sz val="12"/>
      <name val="細明體"/>
      <family val="3"/>
      <charset val="136"/>
    </font>
    <font>
      <sz val="12"/>
      <color theme="1"/>
      <name val="新細明體"/>
      <family val="1"/>
      <scheme val="minor"/>
    </font>
    <font>
      <b/>
      <sz val="12"/>
      <name val="新細明體"/>
      <family val="1"/>
      <charset val="136"/>
      <scheme val="minor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sz val="12"/>
      <color indexed="8"/>
      <name val="文鼎粗楷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4"/>
      <scheme val="minor"/>
    </font>
    <font>
      <u/>
      <sz val="12"/>
      <name val="Times New Roman"/>
      <family val="1"/>
    </font>
    <font>
      <u/>
      <sz val="12"/>
      <name val="標楷體"/>
      <family val="4"/>
      <charset val="136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7">
    <xf numFmtId="0" fontId="0" fillId="0" borderId="0">
      <alignment vertical="center"/>
    </xf>
    <xf numFmtId="0" fontId="3" fillId="0" borderId="0">
      <alignment vertical="center"/>
    </xf>
    <xf numFmtId="0" fontId="7" fillId="0" borderId="0"/>
    <xf numFmtId="9" fontId="12" fillId="0" borderId="0" applyFont="0" applyFill="0" applyBorder="0" applyAlignment="0" applyProtection="0">
      <alignment vertical="center"/>
    </xf>
    <xf numFmtId="0" fontId="3" fillId="0" borderId="0"/>
    <xf numFmtId="0" fontId="15" fillId="0" borderId="0">
      <alignment vertical="center"/>
    </xf>
    <xf numFmtId="0" fontId="22" fillId="0" borderId="0"/>
    <xf numFmtId="0" fontId="22" fillId="0" borderId="0"/>
    <xf numFmtId="0" fontId="15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23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5" fillId="0" borderId="4" xfId="1" applyFont="1" applyBorder="1">
      <alignment vertical="center"/>
    </xf>
    <xf numFmtId="0" fontId="5" fillId="0" borderId="5" xfId="1" applyFont="1" applyBorder="1" applyAlignment="1">
      <alignment horizontal="center" vertical="center"/>
    </xf>
    <xf numFmtId="176" fontId="5" fillId="0" borderId="5" xfId="1" applyNumberFormat="1" applyFont="1" applyBorder="1" applyAlignment="1">
      <alignment horizontal="center" vertical="center"/>
    </xf>
    <xf numFmtId="0" fontId="5" fillId="0" borderId="5" xfId="1" applyFont="1" applyBorder="1">
      <alignment vertical="center"/>
    </xf>
    <xf numFmtId="0" fontId="7" fillId="0" borderId="0" xfId="2"/>
    <xf numFmtId="0" fontId="4" fillId="0" borderId="4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177" fontId="4" fillId="0" borderId="5" xfId="2" applyNumberFormat="1" applyFont="1" applyBorder="1" applyAlignment="1">
      <alignment horizontal="right" vertical="center"/>
    </xf>
    <xf numFmtId="178" fontId="4" fillId="0" borderId="5" xfId="3" applyNumberFormat="1" applyFont="1" applyBorder="1" applyAlignment="1">
      <alignment horizontal="right" vertical="center"/>
    </xf>
    <xf numFmtId="0" fontId="4" fillId="0" borderId="5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8" xfId="1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176" fontId="13" fillId="0" borderId="0" xfId="3" applyNumberFormat="1" applyFont="1" applyBorder="1" applyAlignment="1">
      <alignment horizontal="right" vertical="center"/>
    </xf>
    <xf numFmtId="0" fontId="14" fillId="0" borderId="5" xfId="1" applyFont="1" applyBorder="1" applyAlignment="1">
      <alignment horizontal="left" vertical="center" wrapText="1"/>
    </xf>
    <xf numFmtId="0" fontId="14" fillId="0" borderId="8" xfId="1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8" xfId="4" applyFont="1" applyBorder="1" applyAlignment="1">
      <alignment horizontal="left" vertical="center" wrapText="1"/>
    </xf>
    <xf numFmtId="0" fontId="4" fillId="0" borderId="7" xfId="4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8" xfId="4" applyFont="1" applyBorder="1" applyAlignment="1">
      <alignment horizontal="left" vertical="center"/>
    </xf>
    <xf numFmtId="0" fontId="4" fillId="0" borderId="4" xfId="2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5" fillId="0" borderId="4" xfId="1" applyFont="1" applyBorder="1" applyAlignment="1">
      <alignment horizontal="center" vertical="center"/>
    </xf>
    <xf numFmtId="177" fontId="4" fillId="0" borderId="5" xfId="1" applyNumberFormat="1" applyFont="1" applyBorder="1" applyAlignment="1">
      <alignment horizontal="right" vertical="center"/>
    </xf>
    <xf numFmtId="0" fontId="4" fillId="0" borderId="6" xfId="1" applyFont="1" applyBorder="1" applyAlignment="1">
      <alignment horizontal="center" vertical="center"/>
    </xf>
    <xf numFmtId="176" fontId="13" fillId="0" borderId="0" xfId="1" applyNumberFormat="1" applyFont="1" applyAlignment="1">
      <alignment horizontal="right" vertical="center"/>
    </xf>
    <xf numFmtId="0" fontId="4" fillId="0" borderId="4" xfId="5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5" xfId="5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5" applyFont="1" applyBorder="1" applyAlignment="1">
      <alignment horizontal="center" vertical="center"/>
    </xf>
    <xf numFmtId="0" fontId="7" fillId="0" borderId="0" xfId="2" applyAlignment="1">
      <alignment vertical="center"/>
    </xf>
    <xf numFmtId="0" fontId="21" fillId="0" borderId="20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0" fontId="18" fillId="0" borderId="26" xfId="1" applyFont="1" applyBorder="1">
      <alignment vertical="center"/>
    </xf>
    <xf numFmtId="0" fontId="18" fillId="0" borderId="27" xfId="1" applyFont="1" applyBorder="1" applyAlignment="1">
      <alignment horizontal="center" vertical="center"/>
    </xf>
    <xf numFmtId="0" fontId="18" fillId="0" borderId="27" xfId="1" applyFont="1" applyBorder="1">
      <alignment vertical="center"/>
    </xf>
    <xf numFmtId="0" fontId="3" fillId="0" borderId="27" xfId="1" applyBorder="1">
      <alignment vertical="center"/>
    </xf>
    <xf numFmtId="0" fontId="18" fillId="0" borderId="28" xfId="1" applyFont="1" applyBorder="1">
      <alignment vertical="center"/>
    </xf>
    <xf numFmtId="0" fontId="24" fillId="0" borderId="4" xfId="1" applyFont="1" applyBorder="1" applyAlignment="1">
      <alignment horizontal="center" vertical="center" shrinkToFit="1"/>
    </xf>
    <xf numFmtId="0" fontId="4" fillId="0" borderId="6" xfId="0" applyFont="1" applyBorder="1">
      <alignment vertical="center"/>
    </xf>
    <xf numFmtId="0" fontId="5" fillId="0" borderId="6" xfId="1" applyFont="1" applyBorder="1">
      <alignment vertical="center"/>
    </xf>
    <xf numFmtId="0" fontId="5" fillId="0" borderId="6" xfId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4" fillId="0" borderId="10" xfId="5" applyFont="1" applyBorder="1" applyAlignment="1">
      <alignment horizontal="center" vertical="center"/>
    </xf>
    <xf numFmtId="0" fontId="4" fillId="0" borderId="31" xfId="5" applyFont="1" applyBorder="1" applyAlignment="1">
      <alignment horizontal="center" vertical="center"/>
    </xf>
    <xf numFmtId="0" fontId="4" fillId="0" borderId="32" xfId="5" applyFont="1" applyBorder="1" applyAlignment="1">
      <alignment horizontal="center" vertical="center"/>
    </xf>
    <xf numFmtId="0" fontId="16" fillId="0" borderId="5" xfId="5" applyFont="1" applyBorder="1" applyAlignment="1">
      <alignment horizontal="center" vertical="center"/>
    </xf>
    <xf numFmtId="0" fontId="16" fillId="0" borderId="6" xfId="5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9" fillId="0" borderId="5" xfId="1" applyFont="1" applyBorder="1" applyAlignment="1">
      <alignment horizontal="left" vertical="center"/>
    </xf>
    <xf numFmtId="0" fontId="19" fillId="0" borderId="8" xfId="1" applyFont="1" applyBorder="1" applyAlignment="1">
      <alignment horizontal="left" vertical="center"/>
    </xf>
    <xf numFmtId="0" fontId="19" fillId="0" borderId="5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4" fillId="0" borderId="4" xfId="2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5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0" fontId="7" fillId="0" borderId="13" xfId="2" applyBorder="1" applyAlignment="1">
      <alignment vertical="center"/>
    </xf>
    <xf numFmtId="0" fontId="7" fillId="0" borderId="19" xfId="2" applyBorder="1" applyAlignment="1">
      <alignment vertical="center"/>
    </xf>
    <xf numFmtId="0" fontId="7" fillId="0" borderId="25" xfId="2" applyBorder="1" applyAlignment="1">
      <alignment vertical="center"/>
    </xf>
    <xf numFmtId="0" fontId="17" fillId="0" borderId="14" xfId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9" fillId="0" borderId="15" xfId="1" applyFont="1" applyBorder="1" applyAlignment="1">
      <alignment horizontal="left" vertical="center"/>
    </xf>
    <xf numFmtId="0" fontId="19" fillId="0" borderId="16" xfId="1" applyFont="1" applyBorder="1" applyAlignment="1">
      <alignment horizontal="left" vertical="center"/>
    </xf>
    <xf numFmtId="0" fontId="7" fillId="0" borderId="17" xfId="2" applyBorder="1" applyAlignment="1">
      <alignment vertical="center"/>
    </xf>
    <xf numFmtId="0" fontId="7" fillId="0" borderId="15" xfId="2" applyBorder="1" applyAlignment="1">
      <alignment vertical="center"/>
    </xf>
    <xf numFmtId="0" fontId="7" fillId="0" borderId="18" xfId="2" applyBorder="1" applyAlignment="1">
      <alignment vertical="center"/>
    </xf>
    <xf numFmtId="0" fontId="7" fillId="0" borderId="21" xfId="2" applyBorder="1" applyAlignment="1">
      <alignment vertical="center"/>
    </xf>
    <xf numFmtId="0" fontId="7" fillId="0" borderId="5" xfId="2" applyBorder="1" applyAlignment="1">
      <alignment vertical="center"/>
    </xf>
    <xf numFmtId="0" fontId="7" fillId="0" borderId="22" xfId="2" applyBorder="1" applyAlignment="1">
      <alignment vertical="center"/>
    </xf>
    <xf numFmtId="0" fontId="7" fillId="0" borderId="29" xfId="2" applyBorder="1" applyAlignment="1">
      <alignment vertical="center"/>
    </xf>
    <xf numFmtId="0" fontId="7" fillId="0" borderId="27" xfId="2" applyBorder="1" applyAlignment="1">
      <alignment vertical="center"/>
    </xf>
    <xf numFmtId="0" fontId="7" fillId="0" borderId="30" xfId="2" applyBorder="1" applyAlignment="1">
      <alignment vertical="center"/>
    </xf>
    <xf numFmtId="0" fontId="19" fillId="0" borderId="5" xfId="1" applyFont="1" applyBorder="1" applyAlignment="1">
      <alignment horizontal="left" vertical="center" shrinkToFit="1"/>
    </xf>
    <xf numFmtId="0" fontId="19" fillId="0" borderId="8" xfId="1" applyFont="1" applyBorder="1" applyAlignment="1">
      <alignment horizontal="left" vertical="center" shrinkToFit="1"/>
    </xf>
    <xf numFmtId="0" fontId="19" fillId="0" borderId="5" xfId="5" applyFont="1" applyBorder="1" applyAlignment="1">
      <alignment horizontal="left" vertical="center"/>
    </xf>
    <xf numFmtId="0" fontId="19" fillId="0" borderId="8" xfId="5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4" fontId="5" fillId="0" borderId="5" xfId="1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7" fillId="0" borderId="33" xfId="2" applyBorder="1" applyAlignment="1">
      <alignment vertical="center"/>
    </xf>
    <xf numFmtId="0" fontId="7" fillId="0" borderId="34" xfId="2" applyBorder="1" applyAlignment="1">
      <alignment vertical="center"/>
    </xf>
    <xf numFmtId="0" fontId="7" fillId="0" borderId="35" xfId="2" applyBorder="1" applyAlignment="1">
      <alignment vertical="center"/>
    </xf>
    <xf numFmtId="0" fontId="7" fillId="0" borderId="36" xfId="2" applyBorder="1" applyAlignment="1">
      <alignment vertical="center"/>
    </xf>
    <xf numFmtId="0" fontId="7" fillId="0" borderId="0" xfId="2" applyBorder="1" applyAlignment="1">
      <alignment vertical="center"/>
    </xf>
    <xf numFmtId="0" fontId="7" fillId="0" borderId="37" xfId="2" applyBorder="1" applyAlignment="1">
      <alignment vertical="center"/>
    </xf>
    <xf numFmtId="0" fontId="7" fillId="0" borderId="38" xfId="2" applyBorder="1" applyAlignment="1">
      <alignment vertical="center"/>
    </xf>
    <xf numFmtId="0" fontId="7" fillId="0" borderId="39" xfId="2" applyBorder="1" applyAlignment="1">
      <alignment vertical="center"/>
    </xf>
    <xf numFmtId="0" fontId="7" fillId="0" borderId="40" xfId="2" applyBorder="1" applyAlignment="1">
      <alignment vertical="center"/>
    </xf>
    <xf numFmtId="0" fontId="19" fillId="0" borderId="5" xfId="5" applyFont="1" applyBorder="1" applyAlignment="1">
      <alignment horizontal="left" vertical="center" shrinkToFit="1"/>
    </xf>
    <xf numFmtId="0" fontId="19" fillId="0" borderId="8" xfId="5" applyFont="1" applyBorder="1" applyAlignment="1">
      <alignment horizontal="left" vertical="center" shrinkToFit="1"/>
    </xf>
    <xf numFmtId="0" fontId="6" fillId="0" borderId="2" xfId="1" applyFont="1" applyBorder="1" applyAlignment="1">
      <alignment horizontal="center" vertical="center"/>
    </xf>
  </cellXfs>
  <cellStyles count="17">
    <cellStyle name="一般" xfId="0" builtinId="0"/>
    <cellStyle name="一般 2" xfId="5"/>
    <cellStyle name="一般 2 2" xfId="6"/>
    <cellStyle name="一般 2 2 2" xfId="7"/>
    <cellStyle name="一般 2 3" xfId="1"/>
    <cellStyle name="一般 2 4" xfId="8"/>
    <cellStyle name="一般 2 5" xfId="9"/>
    <cellStyle name="一般 3" xfId="10"/>
    <cellStyle name="一般 4" xfId="2"/>
    <cellStyle name="一般 4 2" xfId="4"/>
    <cellStyle name="一般 4 2 2" xfId="11"/>
    <cellStyle name="一般 5" xfId="12"/>
    <cellStyle name="一般 6" xfId="13"/>
    <cellStyle name="百分比 2" xfId="3"/>
    <cellStyle name="百分比 2 2" xfId="14"/>
    <cellStyle name="百分比 3" xfId="15"/>
    <cellStyle name="貨幣 2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0"/>
  <sheetViews>
    <sheetView tabSelected="1" zoomScale="90" zoomScaleNormal="90" workbookViewId="0">
      <selection activeCell="I6" sqref="I6:I16"/>
    </sheetView>
  </sheetViews>
  <sheetFormatPr defaultRowHeight="16.5"/>
  <cols>
    <col min="1" max="1" width="5.5" bestFit="1" customWidth="1"/>
    <col min="2" max="2" width="33.875" bestFit="1" customWidth="1"/>
    <col min="3" max="3" width="9.5" bestFit="1" customWidth="1"/>
    <col min="4" max="4" width="13.125" customWidth="1"/>
    <col min="5" max="5" width="20.25" customWidth="1"/>
    <col min="6" max="6" width="49.5" customWidth="1"/>
    <col min="7" max="7" width="21.625" customWidth="1"/>
    <col min="8" max="8" width="9.625" bestFit="1" customWidth="1"/>
    <col min="9" max="9" width="12.25" bestFit="1" customWidth="1"/>
    <col min="10" max="10" width="4.25" bestFit="1" customWidth="1"/>
    <col min="11" max="11" width="10.875" customWidth="1"/>
    <col min="12" max="12" width="11.625" customWidth="1"/>
  </cols>
  <sheetData>
    <row r="1" spans="1:13" ht="17.25" thickBot="1"/>
    <row r="2" spans="1:13">
      <c r="A2" s="64" t="s">
        <v>0</v>
      </c>
      <c r="B2" s="65"/>
      <c r="C2" s="1" t="s">
        <v>1</v>
      </c>
      <c r="D2" s="1" t="s">
        <v>2</v>
      </c>
      <c r="E2" s="2" t="s">
        <v>3</v>
      </c>
      <c r="F2" s="100" t="s">
        <v>124</v>
      </c>
      <c r="G2" s="100"/>
      <c r="H2" s="100"/>
      <c r="I2" s="3" t="s">
        <v>4</v>
      </c>
      <c r="J2" s="101"/>
      <c r="K2" s="101"/>
      <c r="L2" s="102"/>
      <c r="M2" s="4"/>
    </row>
    <row r="3" spans="1:13">
      <c r="A3" s="5"/>
      <c r="B3" s="6" t="s">
        <v>5</v>
      </c>
      <c r="C3" s="6"/>
      <c r="D3" s="6"/>
      <c r="E3" s="6"/>
      <c r="F3" s="7">
        <v>62500</v>
      </c>
      <c r="G3" s="6"/>
      <c r="H3" s="8" t="s">
        <v>6</v>
      </c>
      <c r="I3" s="6" t="s">
        <v>7</v>
      </c>
      <c r="J3" s="103">
        <v>45877</v>
      </c>
      <c r="K3" s="104"/>
      <c r="L3" s="105"/>
      <c r="M3" s="4"/>
    </row>
    <row r="4" spans="1:13">
      <c r="A4" s="5"/>
      <c r="B4" s="106"/>
      <c r="C4" s="106"/>
      <c r="D4" s="106"/>
      <c r="E4" s="106"/>
      <c r="F4" s="107"/>
      <c r="G4" s="107"/>
      <c r="H4" s="107"/>
      <c r="I4" s="107"/>
      <c r="J4" s="107"/>
      <c r="K4" s="107"/>
      <c r="L4" s="108"/>
      <c r="M4" s="9"/>
    </row>
    <row r="5" spans="1:13">
      <c r="A5" s="10" t="s">
        <v>8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15</v>
      </c>
      <c r="I5" s="11" t="s">
        <v>16</v>
      </c>
      <c r="J5" s="11"/>
      <c r="K5" s="11" t="s">
        <v>17</v>
      </c>
      <c r="L5" s="12" t="s">
        <v>18</v>
      </c>
      <c r="M5" s="9"/>
    </row>
    <row r="6" spans="1:13">
      <c r="A6" s="73" t="s">
        <v>19</v>
      </c>
      <c r="B6" s="13" t="s">
        <v>20</v>
      </c>
      <c r="C6" s="14" t="s">
        <v>21</v>
      </c>
      <c r="D6" s="15" t="s">
        <v>22</v>
      </c>
      <c r="E6" s="14" t="s">
        <v>120</v>
      </c>
      <c r="F6" s="16" t="s">
        <v>23</v>
      </c>
      <c r="G6" s="17" t="s">
        <v>24</v>
      </c>
      <c r="H6" s="18">
        <v>2E-3</v>
      </c>
      <c r="I6" s="19">
        <f>SUM(H6*$F$3)</f>
        <v>125</v>
      </c>
      <c r="J6" s="20" t="s">
        <v>25</v>
      </c>
      <c r="K6" s="20"/>
      <c r="L6" s="21"/>
      <c r="M6" s="9"/>
    </row>
    <row r="7" spans="1:13">
      <c r="A7" s="73"/>
      <c r="B7" s="13" t="s">
        <v>26</v>
      </c>
      <c r="C7" s="14" t="s">
        <v>27</v>
      </c>
      <c r="D7" s="14" t="s">
        <v>28</v>
      </c>
      <c r="E7" s="13" t="s">
        <v>29</v>
      </c>
      <c r="F7" s="22" t="s">
        <v>30</v>
      </c>
      <c r="G7" s="23" t="s">
        <v>31</v>
      </c>
      <c r="H7" s="18">
        <v>0.01</v>
      </c>
      <c r="I7" s="19">
        <f t="shared" ref="I7:I16" si="0">SUM(H7*$F$3)</f>
        <v>625</v>
      </c>
      <c r="J7" s="20" t="s">
        <v>25</v>
      </c>
      <c r="K7" s="20"/>
      <c r="L7" s="21"/>
      <c r="M7" s="9"/>
    </row>
    <row r="8" spans="1:13">
      <c r="A8" s="73" t="s">
        <v>32</v>
      </c>
      <c r="B8" s="13" t="s">
        <v>33</v>
      </c>
      <c r="C8" s="13" t="s">
        <v>34</v>
      </c>
      <c r="D8" s="14" t="s">
        <v>35</v>
      </c>
      <c r="E8" s="13" t="s">
        <v>36</v>
      </c>
      <c r="F8" s="22" t="s">
        <v>37</v>
      </c>
      <c r="G8" s="23" t="s">
        <v>38</v>
      </c>
      <c r="H8" s="18">
        <f>1-H6-H7-H9-H10-H11-H12-H13-H14-H15-H16</f>
        <v>0.94599</v>
      </c>
      <c r="I8" s="19">
        <f t="shared" si="0"/>
        <v>59124.375</v>
      </c>
      <c r="J8" s="20" t="s">
        <v>25</v>
      </c>
      <c r="K8" s="20"/>
      <c r="L8" s="21"/>
      <c r="M8" s="24"/>
    </row>
    <row r="9" spans="1:13" ht="84.75" customHeight="1">
      <c r="A9" s="74"/>
      <c r="B9" s="13" t="s">
        <v>39</v>
      </c>
      <c r="C9" s="14" t="s">
        <v>40</v>
      </c>
      <c r="D9" s="14" t="s">
        <v>41</v>
      </c>
      <c r="E9" s="13" t="s">
        <v>122</v>
      </c>
      <c r="F9" s="25" t="s">
        <v>42</v>
      </c>
      <c r="G9" s="17" t="s">
        <v>43</v>
      </c>
      <c r="H9" s="18">
        <v>0.01</v>
      </c>
      <c r="I9" s="19">
        <f t="shared" si="0"/>
        <v>625</v>
      </c>
      <c r="J9" s="20" t="s">
        <v>25</v>
      </c>
      <c r="K9" s="20"/>
      <c r="L9" s="21"/>
      <c r="M9" s="24"/>
    </row>
    <row r="10" spans="1:13">
      <c r="A10" s="74"/>
      <c r="B10" s="13" t="s">
        <v>44</v>
      </c>
      <c r="C10" s="13" t="s">
        <v>45</v>
      </c>
      <c r="D10" s="14" t="s">
        <v>46</v>
      </c>
      <c r="E10" s="14">
        <v>20250326</v>
      </c>
      <c r="F10" s="22" t="s">
        <v>47</v>
      </c>
      <c r="G10" s="23" t="s">
        <v>48</v>
      </c>
      <c r="H10" s="18">
        <v>1E-3</v>
      </c>
      <c r="I10" s="19">
        <f t="shared" si="0"/>
        <v>62.5</v>
      </c>
      <c r="J10" s="20" t="s">
        <v>25</v>
      </c>
      <c r="K10" s="20"/>
      <c r="L10" s="21"/>
      <c r="M10" s="24"/>
    </row>
    <row r="11" spans="1:13" ht="33">
      <c r="A11" s="74"/>
      <c r="B11" s="13" t="s">
        <v>49</v>
      </c>
      <c r="C11" s="13" t="s">
        <v>50</v>
      </c>
      <c r="D11" s="14" t="s">
        <v>51</v>
      </c>
      <c r="E11" s="14">
        <v>24091501</v>
      </c>
      <c r="F11" s="26" t="s">
        <v>52</v>
      </c>
      <c r="G11" s="17" t="s">
        <v>53</v>
      </c>
      <c r="H11" s="18">
        <v>1E-3</v>
      </c>
      <c r="I11" s="19">
        <f t="shared" si="0"/>
        <v>62.5</v>
      </c>
      <c r="J11" s="20" t="s">
        <v>25</v>
      </c>
      <c r="K11" s="20"/>
      <c r="L11" s="21"/>
      <c r="M11" s="24"/>
    </row>
    <row r="12" spans="1:13">
      <c r="A12" s="74"/>
      <c r="B12" s="13" t="s">
        <v>54</v>
      </c>
      <c r="C12" s="13" t="s">
        <v>55</v>
      </c>
      <c r="D12" s="14" t="s">
        <v>56</v>
      </c>
      <c r="E12" s="14" t="s">
        <v>57</v>
      </c>
      <c r="F12" s="27" t="s">
        <v>58</v>
      </c>
      <c r="G12" s="23" t="s">
        <v>59</v>
      </c>
      <c r="H12" s="18">
        <v>5.0000000000000001E-3</v>
      </c>
      <c r="I12" s="19">
        <f t="shared" si="0"/>
        <v>312.5</v>
      </c>
      <c r="J12" s="20" t="s">
        <v>25</v>
      </c>
      <c r="K12" s="20"/>
      <c r="L12" s="21"/>
      <c r="M12" s="24"/>
    </row>
    <row r="13" spans="1:13">
      <c r="A13" s="73" t="s">
        <v>60</v>
      </c>
      <c r="B13" s="13" t="s">
        <v>54</v>
      </c>
      <c r="C13" s="13" t="s">
        <v>55</v>
      </c>
      <c r="D13" s="14" t="s">
        <v>61</v>
      </c>
      <c r="E13" s="28" t="s">
        <v>62</v>
      </c>
      <c r="F13" s="29" t="s">
        <v>63</v>
      </c>
      <c r="G13" s="17" t="s">
        <v>64</v>
      </c>
      <c r="H13" s="18">
        <v>1.4999999999999999E-2</v>
      </c>
      <c r="I13" s="19">
        <f t="shared" si="0"/>
        <v>937.5</v>
      </c>
      <c r="J13" s="20" t="s">
        <v>25</v>
      </c>
      <c r="K13" s="20"/>
      <c r="L13" s="21"/>
      <c r="M13" s="24"/>
    </row>
    <row r="14" spans="1:13">
      <c r="A14" s="73"/>
      <c r="B14" s="13" t="s">
        <v>65</v>
      </c>
      <c r="C14" s="13" t="s">
        <v>66</v>
      </c>
      <c r="D14" s="14" t="s">
        <v>67</v>
      </c>
      <c r="E14" s="14" t="s">
        <v>68</v>
      </c>
      <c r="F14" s="30" t="s">
        <v>69</v>
      </c>
      <c r="G14" s="31" t="s">
        <v>70</v>
      </c>
      <c r="H14" s="18">
        <v>2E-3</v>
      </c>
      <c r="I14" s="19">
        <f>SUM(H14*$F$3)</f>
        <v>125</v>
      </c>
      <c r="J14" s="32" t="s">
        <v>25</v>
      </c>
      <c r="K14" s="32"/>
      <c r="L14" s="33"/>
      <c r="M14" s="24"/>
    </row>
    <row r="15" spans="1:13">
      <c r="A15" s="73"/>
      <c r="B15" s="13" t="s">
        <v>65</v>
      </c>
      <c r="C15" s="13" t="s">
        <v>66</v>
      </c>
      <c r="D15" s="14" t="s">
        <v>71</v>
      </c>
      <c r="E15" s="14" t="s">
        <v>72</v>
      </c>
      <c r="F15" s="34" t="s">
        <v>73</v>
      </c>
      <c r="G15" s="23" t="s">
        <v>74</v>
      </c>
      <c r="H15" s="18">
        <v>8.0000000000000002E-3</v>
      </c>
      <c r="I15" s="19">
        <f>SUM(H15*$F$3)</f>
        <v>500</v>
      </c>
      <c r="J15" s="32" t="s">
        <v>25</v>
      </c>
      <c r="K15" s="32"/>
      <c r="L15" s="33"/>
      <c r="M15" s="24"/>
    </row>
    <row r="16" spans="1:13">
      <c r="A16" s="35" t="s">
        <v>75</v>
      </c>
      <c r="B16" s="13" t="s">
        <v>76</v>
      </c>
      <c r="C16" s="13" t="s">
        <v>77</v>
      </c>
      <c r="D16" s="14" t="s">
        <v>78</v>
      </c>
      <c r="E16" s="13" t="s">
        <v>79</v>
      </c>
      <c r="F16" s="36" t="s">
        <v>80</v>
      </c>
      <c r="G16" s="17" t="s">
        <v>81</v>
      </c>
      <c r="H16" s="18">
        <v>1.0000000000000001E-5</v>
      </c>
      <c r="I16" s="19">
        <f t="shared" si="0"/>
        <v>0.625</v>
      </c>
      <c r="J16" s="20" t="s">
        <v>25</v>
      </c>
      <c r="K16" s="20"/>
      <c r="L16" s="21"/>
      <c r="M16" s="24"/>
    </row>
    <row r="17" spans="1:256">
      <c r="A17" s="37"/>
      <c r="B17" s="20"/>
      <c r="C17" s="20"/>
      <c r="D17" s="20"/>
      <c r="E17" s="20"/>
      <c r="F17" s="20" t="s">
        <v>82</v>
      </c>
      <c r="G17" s="20"/>
      <c r="H17" s="38">
        <f>SUM(H6:H16)</f>
        <v>1</v>
      </c>
      <c r="I17" s="19">
        <f>SUM(I6:I16)</f>
        <v>62500</v>
      </c>
      <c r="J17" s="20" t="s">
        <v>25</v>
      </c>
      <c r="K17" s="20"/>
      <c r="L17" s="39"/>
      <c r="M17" s="40"/>
    </row>
    <row r="18" spans="1:256" s="42" customFormat="1">
      <c r="A18" s="41"/>
      <c r="B18" s="62" t="s">
        <v>83</v>
      </c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256" s="42" customFormat="1">
      <c r="A19" s="75"/>
      <c r="B19" s="43" t="s">
        <v>84</v>
      </c>
      <c r="C19" s="43" t="s">
        <v>85</v>
      </c>
      <c r="D19" s="14" t="s">
        <v>102</v>
      </c>
      <c r="E19" s="43">
        <v>20240117</v>
      </c>
      <c r="F19" s="44" t="s">
        <v>103</v>
      </c>
      <c r="G19" s="43"/>
      <c r="H19" s="43"/>
      <c r="I19" s="43" t="s">
        <v>105</v>
      </c>
      <c r="J19" s="43"/>
      <c r="K19" s="43"/>
      <c r="L19" s="45"/>
    </row>
    <row r="20" spans="1:256" s="42" customFormat="1">
      <c r="A20" s="76"/>
      <c r="B20" s="43" t="s">
        <v>86</v>
      </c>
      <c r="C20" s="43" t="s">
        <v>87</v>
      </c>
      <c r="D20" s="14" t="s">
        <v>88</v>
      </c>
      <c r="E20" s="43">
        <v>20241202</v>
      </c>
      <c r="F20" s="43" t="s">
        <v>89</v>
      </c>
      <c r="G20" s="43"/>
      <c r="H20" s="43"/>
      <c r="I20" s="43" t="s">
        <v>105</v>
      </c>
      <c r="J20" s="43"/>
      <c r="K20" s="43"/>
      <c r="L20" s="45"/>
    </row>
    <row r="21" spans="1:256" s="42" customFormat="1">
      <c r="A21" s="76"/>
      <c r="B21" s="43" t="s">
        <v>90</v>
      </c>
      <c r="C21" s="43" t="s">
        <v>91</v>
      </c>
      <c r="D21" s="14" t="s">
        <v>92</v>
      </c>
      <c r="E21" s="43">
        <v>20201015</v>
      </c>
      <c r="F21" s="44" t="s">
        <v>93</v>
      </c>
      <c r="G21" s="43"/>
      <c r="H21" s="43"/>
      <c r="I21" s="43" t="s">
        <v>106</v>
      </c>
      <c r="J21" s="43"/>
      <c r="K21" s="43"/>
      <c r="L21" s="45"/>
    </row>
    <row r="22" spans="1:256" s="42" customFormat="1" ht="17.25" thickBot="1">
      <c r="A22" s="77"/>
      <c r="B22" s="43" t="s">
        <v>86</v>
      </c>
      <c r="C22" s="43" t="s">
        <v>87</v>
      </c>
      <c r="D22" s="14" t="s">
        <v>88</v>
      </c>
      <c r="E22" s="43">
        <v>20250806</v>
      </c>
      <c r="F22" s="43" t="s">
        <v>104</v>
      </c>
      <c r="G22" s="43"/>
      <c r="H22" s="43"/>
      <c r="I22" s="43" t="s">
        <v>106</v>
      </c>
      <c r="J22" s="43"/>
      <c r="K22" s="43"/>
      <c r="L22" s="45"/>
    </row>
    <row r="23" spans="1:256" ht="17.25" thickTop="1">
      <c r="A23" s="78"/>
      <c r="B23" s="81" t="s">
        <v>94</v>
      </c>
      <c r="C23" s="82"/>
      <c r="D23" s="85" t="s">
        <v>95</v>
      </c>
      <c r="E23" s="85"/>
      <c r="F23" s="85"/>
      <c r="G23" s="85"/>
      <c r="H23" s="85"/>
      <c r="I23" s="86"/>
      <c r="J23" s="87"/>
      <c r="K23" s="88"/>
      <c r="L23" s="89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  <c r="IU23" s="46"/>
      <c r="IV23" s="46"/>
    </row>
    <row r="24" spans="1:256">
      <c r="A24" s="79"/>
      <c r="B24" s="83"/>
      <c r="C24" s="84"/>
      <c r="D24" s="96" t="s">
        <v>96</v>
      </c>
      <c r="E24" s="96"/>
      <c r="F24" s="96"/>
      <c r="G24" s="96"/>
      <c r="H24" s="96"/>
      <c r="I24" s="97"/>
      <c r="J24" s="90"/>
      <c r="K24" s="91"/>
      <c r="L24" s="92"/>
    </row>
    <row r="25" spans="1:256">
      <c r="A25" s="79"/>
      <c r="B25" s="83"/>
      <c r="C25" s="84"/>
      <c r="D25" s="98" t="s">
        <v>97</v>
      </c>
      <c r="E25" s="98"/>
      <c r="F25" s="98"/>
      <c r="G25" s="98"/>
      <c r="H25" s="98"/>
      <c r="I25" s="99"/>
      <c r="J25" s="90"/>
      <c r="K25" s="91"/>
      <c r="L25" s="92"/>
    </row>
    <row r="26" spans="1:256">
      <c r="A26" s="79"/>
      <c r="B26" s="83"/>
      <c r="C26" s="84"/>
      <c r="D26" s="66"/>
      <c r="E26" s="66"/>
      <c r="F26" s="66"/>
      <c r="G26" s="66"/>
      <c r="H26" s="66"/>
      <c r="I26" s="67"/>
      <c r="J26" s="90"/>
      <c r="K26" s="91"/>
      <c r="L26" s="92"/>
    </row>
    <row r="27" spans="1:256">
      <c r="A27" s="79"/>
      <c r="B27" s="83"/>
      <c r="C27" s="84"/>
      <c r="D27" s="68"/>
      <c r="E27" s="68"/>
      <c r="F27" s="68"/>
      <c r="G27" s="68"/>
      <c r="H27" s="68"/>
      <c r="I27" s="69"/>
      <c r="J27" s="90"/>
      <c r="K27" s="91"/>
      <c r="L27" s="92"/>
    </row>
    <row r="28" spans="1:256">
      <c r="A28" s="79"/>
      <c r="B28" s="47" t="s">
        <v>0</v>
      </c>
      <c r="C28" s="48" t="s">
        <v>98</v>
      </c>
      <c r="D28" s="70" t="s">
        <v>99</v>
      </c>
      <c r="E28" s="71"/>
      <c r="F28" s="71"/>
      <c r="G28" s="71"/>
      <c r="H28" s="71"/>
      <c r="I28" s="72"/>
      <c r="J28" s="90"/>
      <c r="K28" s="91"/>
      <c r="L28" s="92"/>
    </row>
    <row r="29" spans="1:256" ht="17.25" thickBot="1">
      <c r="A29" s="80"/>
      <c r="B29" s="49"/>
      <c r="C29" s="50" t="s">
        <v>100</v>
      </c>
      <c r="D29" s="51"/>
      <c r="E29" s="52"/>
      <c r="F29" s="50" t="s">
        <v>101</v>
      </c>
      <c r="G29" s="51"/>
      <c r="H29" s="51"/>
      <c r="I29" s="53"/>
      <c r="J29" s="93"/>
      <c r="K29" s="94"/>
      <c r="L29" s="95"/>
    </row>
    <row r="30" spans="1:256" ht="17.25" thickTop="1"/>
  </sheetData>
  <mergeCells count="19">
    <mergeCell ref="A6:A7"/>
    <mergeCell ref="A2:B2"/>
    <mergeCell ref="F2:H2"/>
    <mergeCell ref="J2:L2"/>
    <mergeCell ref="J3:L3"/>
    <mergeCell ref="B4:L4"/>
    <mergeCell ref="D26:I26"/>
    <mergeCell ref="D27:I27"/>
    <mergeCell ref="D28:I28"/>
    <mergeCell ref="A8:A12"/>
    <mergeCell ref="A13:A15"/>
    <mergeCell ref="B18:L18"/>
    <mergeCell ref="A19:A22"/>
    <mergeCell ref="A23:A29"/>
    <mergeCell ref="B23:C27"/>
    <mergeCell ref="D23:I23"/>
    <mergeCell ref="J23:L29"/>
    <mergeCell ref="D24:I24"/>
    <mergeCell ref="D25:I25"/>
  </mergeCells>
  <phoneticPr fontId="1" type="noConversion"/>
  <printOptions horizontalCentered="1" verticalCentered="1"/>
  <pageMargins left="0" right="0" top="0" bottom="0" header="0.31496062992125984" footer="0.31496062992125984"/>
  <pageSetup paperSize="9" scale="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9"/>
  <sheetViews>
    <sheetView topLeftCell="C4" zoomScale="90" zoomScaleNormal="90" workbookViewId="0">
      <selection activeCell="I6" sqref="I6:I16"/>
    </sheetView>
  </sheetViews>
  <sheetFormatPr defaultRowHeight="16.5"/>
  <cols>
    <col min="1" max="1" width="5.5" bestFit="1" customWidth="1"/>
    <col min="2" max="2" width="36.125" bestFit="1" customWidth="1"/>
    <col min="3" max="3" width="10.5" bestFit="1" customWidth="1"/>
    <col min="4" max="4" width="13.875" bestFit="1" customWidth="1"/>
    <col min="5" max="5" width="19.75" customWidth="1"/>
    <col min="6" max="6" width="57.125" bestFit="1" customWidth="1"/>
    <col min="7" max="7" width="28.75" customWidth="1"/>
    <col min="8" max="8" width="9.75" bestFit="1" customWidth="1"/>
    <col min="9" max="9" width="11.75" customWidth="1"/>
    <col min="10" max="10" width="4.25" bestFit="1" customWidth="1"/>
    <col min="11" max="12" width="10.25" customWidth="1"/>
  </cols>
  <sheetData>
    <row r="1" spans="1:13" ht="17.25" thickBot="1"/>
    <row r="2" spans="1:13">
      <c r="A2" s="64" t="s">
        <v>0</v>
      </c>
      <c r="B2" s="65"/>
      <c r="C2" s="1" t="s">
        <v>1</v>
      </c>
      <c r="D2" s="1" t="s">
        <v>2</v>
      </c>
      <c r="E2" s="2" t="s">
        <v>3</v>
      </c>
      <c r="F2" s="120" t="s">
        <v>123</v>
      </c>
      <c r="G2" s="101"/>
      <c r="H2" s="101"/>
      <c r="I2" s="3" t="s">
        <v>4</v>
      </c>
      <c r="J2" s="101"/>
      <c r="K2" s="101"/>
      <c r="L2" s="102"/>
      <c r="M2" s="4"/>
    </row>
    <row r="3" spans="1:13">
      <c r="A3" s="5"/>
      <c r="B3" s="6" t="s">
        <v>5</v>
      </c>
      <c r="C3" s="6"/>
      <c r="D3" s="6"/>
      <c r="E3" s="6"/>
      <c r="F3" s="7">
        <v>125000</v>
      </c>
      <c r="G3" s="6"/>
      <c r="H3" s="8" t="s">
        <v>6</v>
      </c>
      <c r="I3" s="6" t="s">
        <v>7</v>
      </c>
      <c r="J3" s="103">
        <v>45877</v>
      </c>
      <c r="K3" s="104"/>
      <c r="L3" s="105"/>
      <c r="M3" s="4"/>
    </row>
    <row r="4" spans="1:13">
      <c r="A4" s="5"/>
      <c r="B4" s="106"/>
      <c r="C4" s="106"/>
      <c r="D4" s="106"/>
      <c r="E4" s="106"/>
      <c r="F4" s="107"/>
      <c r="G4" s="107"/>
      <c r="H4" s="107"/>
      <c r="I4" s="107"/>
      <c r="J4" s="107"/>
      <c r="K4" s="107"/>
      <c r="L4" s="108"/>
      <c r="M4" s="9"/>
    </row>
    <row r="5" spans="1:13">
      <c r="A5" s="54" t="s">
        <v>107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6" t="s">
        <v>108</v>
      </c>
      <c r="I5" s="6" t="s">
        <v>109</v>
      </c>
      <c r="J5" s="6"/>
      <c r="K5" s="11" t="s">
        <v>17</v>
      </c>
      <c r="L5" s="55" t="s">
        <v>18</v>
      </c>
      <c r="M5" s="9"/>
    </row>
    <row r="6" spans="1:13">
      <c r="A6" s="73" t="s">
        <v>19</v>
      </c>
      <c r="B6" s="13" t="s">
        <v>20</v>
      </c>
      <c r="C6" s="14" t="s">
        <v>21</v>
      </c>
      <c r="D6" s="15" t="s">
        <v>22</v>
      </c>
      <c r="E6" s="14" t="s">
        <v>121</v>
      </c>
      <c r="F6" s="16" t="s">
        <v>23</v>
      </c>
      <c r="G6" s="17" t="s">
        <v>24</v>
      </c>
      <c r="H6" s="18">
        <v>2E-3</v>
      </c>
      <c r="I6" s="19">
        <f>SUM(H6*$F$3)</f>
        <v>250</v>
      </c>
      <c r="J6" s="20" t="s">
        <v>25</v>
      </c>
      <c r="K6" s="8"/>
      <c r="L6" s="56"/>
      <c r="M6" s="9"/>
    </row>
    <row r="7" spans="1:13">
      <c r="A7" s="73"/>
      <c r="B7" s="13" t="s">
        <v>26</v>
      </c>
      <c r="C7" s="14" t="s">
        <v>27</v>
      </c>
      <c r="D7" s="14" t="s">
        <v>28</v>
      </c>
      <c r="E7" s="13" t="s">
        <v>29</v>
      </c>
      <c r="F7" s="22" t="s">
        <v>30</v>
      </c>
      <c r="G7" s="23" t="s">
        <v>31</v>
      </c>
      <c r="H7" s="18">
        <v>0.01</v>
      </c>
      <c r="I7" s="19">
        <f t="shared" ref="I7:I16" si="0">SUM(H7*$F$3)</f>
        <v>1250</v>
      </c>
      <c r="J7" s="20" t="s">
        <v>25</v>
      </c>
      <c r="K7" s="8"/>
      <c r="L7" s="56"/>
      <c r="M7" s="9"/>
    </row>
    <row r="8" spans="1:13">
      <c r="A8" s="73" t="s">
        <v>32</v>
      </c>
      <c r="B8" s="13" t="s">
        <v>33</v>
      </c>
      <c r="C8" s="13" t="s">
        <v>34</v>
      </c>
      <c r="D8" s="14" t="s">
        <v>35</v>
      </c>
      <c r="E8" s="13" t="s">
        <v>36</v>
      </c>
      <c r="F8" s="22" t="s">
        <v>37</v>
      </c>
      <c r="G8" s="23" t="s">
        <v>38</v>
      </c>
      <c r="H8" s="18">
        <f>1-H6-H7-H9-H10-H11-H12-H13-H14-H15-H16</f>
        <v>0.94599</v>
      </c>
      <c r="I8" s="19">
        <f t="shared" si="0"/>
        <v>118248.75</v>
      </c>
      <c r="J8" s="20" t="s">
        <v>25</v>
      </c>
      <c r="K8" s="8"/>
      <c r="L8" s="56"/>
      <c r="M8" s="24"/>
    </row>
    <row r="9" spans="1:13" ht="49.5">
      <c r="A9" s="74"/>
      <c r="B9" s="13" t="s">
        <v>39</v>
      </c>
      <c r="C9" s="14" t="s">
        <v>40</v>
      </c>
      <c r="D9" s="14" t="s">
        <v>41</v>
      </c>
      <c r="E9" s="13" t="s">
        <v>122</v>
      </c>
      <c r="F9" s="25" t="s">
        <v>42</v>
      </c>
      <c r="G9" s="17" t="s">
        <v>43</v>
      </c>
      <c r="H9" s="18">
        <v>0.01</v>
      </c>
      <c r="I9" s="19">
        <f t="shared" si="0"/>
        <v>1250</v>
      </c>
      <c r="J9" s="20" t="s">
        <v>25</v>
      </c>
      <c r="K9" s="8"/>
      <c r="L9" s="56"/>
      <c r="M9" s="24"/>
    </row>
    <row r="10" spans="1:13">
      <c r="A10" s="74"/>
      <c r="B10" s="13" t="s">
        <v>44</v>
      </c>
      <c r="C10" s="13" t="s">
        <v>45</v>
      </c>
      <c r="D10" s="14" t="s">
        <v>46</v>
      </c>
      <c r="E10" s="28">
        <v>20250326</v>
      </c>
      <c r="F10" s="22" t="s">
        <v>47</v>
      </c>
      <c r="G10" s="23" t="s">
        <v>48</v>
      </c>
      <c r="H10" s="18">
        <v>1E-3</v>
      </c>
      <c r="I10" s="19">
        <f t="shared" si="0"/>
        <v>125</v>
      </c>
      <c r="J10" s="20" t="s">
        <v>25</v>
      </c>
      <c r="K10" s="8"/>
      <c r="L10" s="56"/>
      <c r="M10" s="24"/>
    </row>
    <row r="11" spans="1:13">
      <c r="A11" s="74"/>
      <c r="B11" s="13" t="s">
        <v>49</v>
      </c>
      <c r="C11" s="13" t="s">
        <v>50</v>
      </c>
      <c r="D11" s="14" t="s">
        <v>51</v>
      </c>
      <c r="E11" s="14">
        <v>24091501</v>
      </c>
      <c r="F11" s="26" t="s">
        <v>52</v>
      </c>
      <c r="G11" s="17" t="s">
        <v>53</v>
      </c>
      <c r="H11" s="18">
        <v>1E-3</v>
      </c>
      <c r="I11" s="19">
        <f t="shared" si="0"/>
        <v>125</v>
      </c>
      <c r="J11" s="20" t="s">
        <v>25</v>
      </c>
      <c r="K11" s="8"/>
      <c r="L11" s="56"/>
      <c r="M11" s="24"/>
    </row>
    <row r="12" spans="1:13">
      <c r="A12" s="74"/>
      <c r="B12" s="13" t="s">
        <v>54</v>
      </c>
      <c r="C12" s="13" t="s">
        <v>55</v>
      </c>
      <c r="D12" s="14" t="s">
        <v>56</v>
      </c>
      <c r="E12" s="14" t="s">
        <v>57</v>
      </c>
      <c r="F12" s="27" t="s">
        <v>58</v>
      </c>
      <c r="G12" s="23" t="s">
        <v>59</v>
      </c>
      <c r="H12" s="18">
        <v>5.0000000000000001E-3</v>
      </c>
      <c r="I12" s="19">
        <f t="shared" si="0"/>
        <v>625</v>
      </c>
      <c r="J12" s="20" t="s">
        <v>25</v>
      </c>
      <c r="K12" s="8"/>
      <c r="L12" s="56"/>
      <c r="M12" s="24"/>
    </row>
    <row r="13" spans="1:13">
      <c r="A13" s="73" t="s">
        <v>60</v>
      </c>
      <c r="B13" s="13" t="s">
        <v>54</v>
      </c>
      <c r="C13" s="13" t="s">
        <v>55</v>
      </c>
      <c r="D13" s="14" t="s">
        <v>61</v>
      </c>
      <c r="E13" s="28" t="s">
        <v>62</v>
      </c>
      <c r="F13" s="29" t="s">
        <v>63</v>
      </c>
      <c r="G13" s="17" t="s">
        <v>64</v>
      </c>
      <c r="H13" s="18">
        <v>1.4999999999999999E-2</v>
      </c>
      <c r="I13" s="19">
        <f t="shared" si="0"/>
        <v>1875</v>
      </c>
      <c r="J13" s="20" t="s">
        <v>25</v>
      </c>
      <c r="K13" s="8"/>
      <c r="L13" s="56"/>
      <c r="M13" s="24"/>
    </row>
    <row r="14" spans="1:13">
      <c r="A14" s="73"/>
      <c r="B14" s="13" t="s">
        <v>65</v>
      </c>
      <c r="C14" s="13" t="s">
        <v>66</v>
      </c>
      <c r="D14" s="14" t="s">
        <v>67</v>
      </c>
      <c r="E14" s="14" t="s">
        <v>68</v>
      </c>
      <c r="F14" s="30" t="s">
        <v>69</v>
      </c>
      <c r="G14" s="31" t="s">
        <v>70</v>
      </c>
      <c r="H14" s="18">
        <v>2E-3</v>
      </c>
      <c r="I14" s="19">
        <f>SUM(H14*$F$3)</f>
        <v>250</v>
      </c>
      <c r="J14" s="32" t="s">
        <v>25</v>
      </c>
      <c r="K14" s="8"/>
      <c r="L14" s="56"/>
      <c r="M14" s="24"/>
    </row>
    <row r="15" spans="1:13">
      <c r="A15" s="73"/>
      <c r="B15" s="13" t="s">
        <v>65</v>
      </c>
      <c r="C15" s="13" t="s">
        <v>66</v>
      </c>
      <c r="D15" s="14" t="s">
        <v>71</v>
      </c>
      <c r="E15" s="14" t="s">
        <v>72</v>
      </c>
      <c r="F15" s="34" t="s">
        <v>73</v>
      </c>
      <c r="G15" s="23" t="s">
        <v>74</v>
      </c>
      <c r="H15" s="18">
        <v>8.0000000000000002E-3</v>
      </c>
      <c r="I15" s="19">
        <f>SUM(H15*$F$3)</f>
        <v>1000</v>
      </c>
      <c r="J15" s="32" t="s">
        <v>25</v>
      </c>
      <c r="K15" s="8"/>
      <c r="L15" s="56"/>
      <c r="M15" s="24"/>
    </row>
    <row r="16" spans="1:13">
      <c r="A16" s="35" t="s">
        <v>75</v>
      </c>
      <c r="B16" s="13" t="s">
        <v>76</v>
      </c>
      <c r="C16" s="13" t="s">
        <v>77</v>
      </c>
      <c r="D16" s="14" t="s">
        <v>78</v>
      </c>
      <c r="E16" s="13" t="s">
        <v>79</v>
      </c>
      <c r="F16" s="36" t="s">
        <v>80</v>
      </c>
      <c r="G16" s="17" t="s">
        <v>81</v>
      </c>
      <c r="H16" s="18">
        <v>1.0000000000000001E-5</v>
      </c>
      <c r="I16" s="19">
        <f t="shared" si="0"/>
        <v>1.25</v>
      </c>
      <c r="J16" s="20" t="s">
        <v>25</v>
      </c>
      <c r="K16" s="8"/>
      <c r="L16" s="56"/>
      <c r="M16" s="24"/>
    </row>
    <row r="17" spans="1:256">
      <c r="A17" s="37"/>
      <c r="B17" s="20"/>
      <c r="C17" s="20"/>
      <c r="D17" s="20"/>
      <c r="E17" s="20"/>
      <c r="F17" s="20" t="s">
        <v>82</v>
      </c>
      <c r="G17" s="20"/>
      <c r="H17" s="38">
        <f>SUM(H6:H16)</f>
        <v>1</v>
      </c>
      <c r="I17" s="19">
        <f>SUM(I6:I16)</f>
        <v>125000</v>
      </c>
      <c r="J17" s="20" t="s">
        <v>25</v>
      </c>
      <c r="K17" s="8"/>
      <c r="L17" s="57"/>
      <c r="M17" s="40"/>
    </row>
    <row r="18" spans="1:256" s="42" customFormat="1">
      <c r="A18" s="41"/>
      <c r="B18" s="62" t="s">
        <v>83</v>
      </c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256" s="42" customFormat="1">
      <c r="A19" s="41"/>
      <c r="B19" s="43" t="s">
        <v>110</v>
      </c>
      <c r="C19" s="58" t="s">
        <v>91</v>
      </c>
      <c r="D19" s="58" t="s">
        <v>111</v>
      </c>
      <c r="E19" s="43">
        <v>20211013</v>
      </c>
      <c r="F19" s="44" t="s">
        <v>112</v>
      </c>
      <c r="G19" s="43"/>
      <c r="H19" s="43"/>
      <c r="I19" s="43" t="s">
        <v>117</v>
      </c>
      <c r="J19" s="43"/>
      <c r="K19" s="43"/>
      <c r="L19" s="45"/>
    </row>
    <row r="20" spans="1:256" s="42" customFormat="1">
      <c r="A20" s="59"/>
      <c r="B20" s="60" t="s">
        <v>86</v>
      </c>
      <c r="C20" s="60" t="s">
        <v>87</v>
      </c>
      <c r="D20" s="60" t="s">
        <v>113</v>
      </c>
      <c r="E20" s="60">
        <v>20240202</v>
      </c>
      <c r="F20" s="60" t="s">
        <v>114</v>
      </c>
      <c r="G20" s="60"/>
      <c r="H20" s="60"/>
      <c r="I20" s="60" t="s">
        <v>118</v>
      </c>
      <c r="J20" s="60"/>
      <c r="K20" s="60"/>
      <c r="L20" s="61"/>
    </row>
    <row r="21" spans="1:256" s="42" customFormat="1" ht="17.25" thickBot="1">
      <c r="A21" s="59"/>
      <c r="B21" s="60" t="s">
        <v>86</v>
      </c>
      <c r="C21" s="60" t="s">
        <v>87</v>
      </c>
      <c r="D21" s="60" t="s">
        <v>113</v>
      </c>
      <c r="E21" s="60">
        <v>20250806</v>
      </c>
      <c r="F21" s="60" t="s">
        <v>116</v>
      </c>
      <c r="G21" s="60"/>
      <c r="H21" s="60"/>
      <c r="I21" s="60" t="s">
        <v>119</v>
      </c>
      <c r="J21" s="60"/>
      <c r="K21" s="60"/>
      <c r="L21" s="61"/>
    </row>
    <row r="22" spans="1:256" ht="17.25" thickTop="1">
      <c r="A22" s="78"/>
      <c r="B22" s="81" t="s">
        <v>94</v>
      </c>
      <c r="C22" s="82"/>
      <c r="D22" s="85" t="s">
        <v>95</v>
      </c>
      <c r="E22" s="85"/>
      <c r="F22" s="85"/>
      <c r="G22" s="85"/>
      <c r="H22" s="85"/>
      <c r="I22" s="86"/>
      <c r="J22" s="109"/>
      <c r="K22" s="110"/>
      <c r="L22" s="111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</row>
    <row r="23" spans="1:256">
      <c r="A23" s="79"/>
      <c r="B23" s="83"/>
      <c r="C23" s="84"/>
      <c r="D23" s="96" t="s">
        <v>96</v>
      </c>
      <c r="E23" s="96"/>
      <c r="F23" s="96"/>
      <c r="G23" s="96"/>
      <c r="H23" s="96"/>
      <c r="I23" s="97"/>
      <c r="J23" s="112"/>
      <c r="K23" s="113"/>
      <c r="L23" s="114"/>
    </row>
    <row r="24" spans="1:256">
      <c r="A24" s="79"/>
      <c r="B24" s="83"/>
      <c r="C24" s="84"/>
      <c r="D24" s="118" t="s">
        <v>115</v>
      </c>
      <c r="E24" s="118"/>
      <c r="F24" s="118"/>
      <c r="G24" s="118"/>
      <c r="H24" s="118"/>
      <c r="I24" s="119"/>
      <c r="J24" s="112"/>
      <c r="K24" s="113"/>
      <c r="L24" s="114"/>
    </row>
    <row r="25" spans="1:256">
      <c r="A25" s="79"/>
      <c r="B25" s="83"/>
      <c r="C25" s="84"/>
      <c r="D25" s="66"/>
      <c r="E25" s="66"/>
      <c r="F25" s="66"/>
      <c r="G25" s="66"/>
      <c r="H25" s="66"/>
      <c r="I25" s="67"/>
      <c r="J25" s="112"/>
      <c r="K25" s="113"/>
      <c r="L25" s="114"/>
    </row>
    <row r="26" spans="1:256">
      <c r="A26" s="79"/>
      <c r="B26" s="83"/>
      <c r="C26" s="84"/>
      <c r="D26" s="68"/>
      <c r="E26" s="68"/>
      <c r="F26" s="68"/>
      <c r="G26" s="68"/>
      <c r="H26" s="68"/>
      <c r="I26" s="69"/>
      <c r="J26" s="112"/>
      <c r="K26" s="113"/>
      <c r="L26" s="114"/>
    </row>
    <row r="27" spans="1:256">
      <c r="A27" s="79"/>
      <c r="B27" s="47" t="s">
        <v>0</v>
      </c>
      <c r="C27" s="48" t="s">
        <v>98</v>
      </c>
      <c r="D27" s="70" t="s">
        <v>99</v>
      </c>
      <c r="E27" s="71"/>
      <c r="F27" s="71"/>
      <c r="G27" s="71"/>
      <c r="H27" s="71"/>
      <c r="I27" s="72"/>
      <c r="J27" s="112"/>
      <c r="K27" s="113"/>
      <c r="L27" s="114"/>
    </row>
    <row r="28" spans="1:256" ht="17.25" thickBot="1">
      <c r="A28" s="80"/>
      <c r="B28" s="49"/>
      <c r="C28" s="50" t="s">
        <v>100</v>
      </c>
      <c r="D28" s="51"/>
      <c r="E28" s="52"/>
      <c r="F28" s="50" t="s">
        <v>101</v>
      </c>
      <c r="G28" s="51"/>
      <c r="H28" s="51"/>
      <c r="I28" s="53"/>
      <c r="J28" s="115"/>
      <c r="K28" s="116"/>
      <c r="L28" s="117"/>
    </row>
    <row r="29" spans="1:256" ht="17.25" thickTop="1"/>
  </sheetData>
  <mergeCells count="18">
    <mergeCell ref="A6:A7"/>
    <mergeCell ref="A2:B2"/>
    <mergeCell ref="F2:H2"/>
    <mergeCell ref="J2:L2"/>
    <mergeCell ref="J3:L3"/>
    <mergeCell ref="B4:L4"/>
    <mergeCell ref="D26:I26"/>
    <mergeCell ref="D27:I27"/>
    <mergeCell ref="A8:A12"/>
    <mergeCell ref="A13:A15"/>
    <mergeCell ref="B18:L18"/>
    <mergeCell ref="A22:A28"/>
    <mergeCell ref="B22:C26"/>
    <mergeCell ref="D22:I22"/>
    <mergeCell ref="J22:L28"/>
    <mergeCell ref="D23:I23"/>
    <mergeCell ref="D24:I24"/>
    <mergeCell ref="D25:I25"/>
  </mergeCells>
  <phoneticPr fontId="1" type="noConversion"/>
  <printOptions horizontalCentered="1" verticalCentered="1"/>
  <pageMargins left="0" right="0" top="0" bottom="0" header="0.31496062992125984" footer="0.31496062992125984"/>
  <pageSetup paperSize="9" scale="6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賦活極致靚白黑面膜&amp;親膚極致舒緩黑面膜</vt:lpstr>
      <vt:lpstr>玻尿酸保濕水嫩面膜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2025-08-12T03:09:19Z</cp:lastPrinted>
  <dcterms:created xsi:type="dcterms:W3CDTF">2025-08-08T07:16:48Z</dcterms:created>
  <dcterms:modified xsi:type="dcterms:W3CDTF">2025-08-15T07:38:37Z</dcterms:modified>
</cp:coreProperties>
</file>